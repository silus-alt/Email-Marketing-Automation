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ngw\Downloads\"/>
    </mc:Choice>
  </mc:AlternateContent>
  <bookViews>
    <workbookView xWindow="0" yWindow="0" windowWidth="17256" windowHeight="7812" tabRatio="500" activeTab="3"/>
  </bookViews>
  <sheets>
    <sheet name="Members" sheetId="1" r:id="rId1"/>
    <sheet name="Click Tracking" sheetId="2" r:id="rId2"/>
    <sheet name="Remarketing Record" sheetId="3" r:id="rId3"/>
    <sheet name="Dashboard Summary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4" l="1"/>
  <c r="B6" i="4" s="1"/>
  <c r="B4" i="4"/>
  <c r="B3" i="4"/>
  <c r="B2" i="4"/>
  <c r="B12" i="4"/>
  <c r="B11" i="4"/>
  <c r="B10" i="4"/>
  <c r="B18" i="4"/>
  <c r="B17" i="4"/>
  <c r="B16" i="4"/>
  <c r="B19" i="4" l="1"/>
</calcChain>
</file>

<file path=xl/sharedStrings.xml><?xml version="1.0" encoding="utf-8"?>
<sst xmlns="http://schemas.openxmlformats.org/spreadsheetml/2006/main" count="517" uniqueCount="291">
  <si>
    <t>Subscriber ID</t>
  </si>
  <si>
    <t>Email</t>
  </si>
  <si>
    <t>Name</t>
  </si>
  <si>
    <t>Registration Date</t>
  </si>
  <si>
    <t>SUB001</t>
  </si>
  <si>
    <t>member001@example.com</t>
  </si>
  <si>
    <t>Member 001</t>
  </si>
  <si>
    <t>2026-06-01</t>
  </si>
  <si>
    <t>SUB002</t>
  </si>
  <si>
    <t>member002@example.com</t>
  </si>
  <si>
    <t>Member 002</t>
  </si>
  <si>
    <t>2026-06-08</t>
  </si>
  <si>
    <t>SUB003</t>
  </si>
  <si>
    <t>member003@example.com</t>
  </si>
  <si>
    <t>Member 003</t>
  </si>
  <si>
    <t>2026-06-05</t>
  </si>
  <si>
    <t>SUB004</t>
  </si>
  <si>
    <t>member004@example.com</t>
  </si>
  <si>
    <t>Member 004</t>
  </si>
  <si>
    <t>2026-06-18</t>
  </si>
  <si>
    <t>SUB005</t>
  </si>
  <si>
    <t>member005@example.com</t>
  </si>
  <si>
    <t>Member 005</t>
  </si>
  <si>
    <t>2026-06-19</t>
  </si>
  <si>
    <t>SUB006</t>
  </si>
  <si>
    <t>member006@example.com</t>
  </si>
  <si>
    <t>Member 006</t>
  </si>
  <si>
    <t>2026-06-02</t>
  </si>
  <si>
    <t>SUB007</t>
  </si>
  <si>
    <t>member007@example.com</t>
  </si>
  <si>
    <t>Member 007</t>
  </si>
  <si>
    <t>2026-06-03</t>
  </si>
  <si>
    <t>SUB008</t>
  </si>
  <si>
    <t>member008@example.com</t>
  </si>
  <si>
    <t>Member 008</t>
  </si>
  <si>
    <t>SUB009</t>
  </si>
  <si>
    <t>member009@example.com</t>
  </si>
  <si>
    <t>Member 009</t>
  </si>
  <si>
    <t>2026-06-20</t>
  </si>
  <si>
    <t>SUB010</t>
  </si>
  <si>
    <t>member010@example.com</t>
  </si>
  <si>
    <t>Member 010</t>
  </si>
  <si>
    <t>SUB011</t>
  </si>
  <si>
    <t>member011@example.com</t>
  </si>
  <si>
    <t>Member 011</t>
  </si>
  <si>
    <t>2026-06-21</t>
  </si>
  <si>
    <t>SUB012</t>
  </si>
  <si>
    <t>member012@example.com</t>
  </si>
  <si>
    <t>Member 012</t>
  </si>
  <si>
    <t>SUB013</t>
  </si>
  <si>
    <t>member013@example.com</t>
  </si>
  <si>
    <t>Member 013</t>
  </si>
  <si>
    <t>SUB014</t>
  </si>
  <si>
    <t>member014@example.com</t>
  </si>
  <si>
    <t>Member 014</t>
  </si>
  <si>
    <t>SUB015</t>
  </si>
  <si>
    <t>member015@example.com</t>
  </si>
  <si>
    <t>Member 015</t>
  </si>
  <si>
    <t>SUB016</t>
  </si>
  <si>
    <t>member016@example.com</t>
  </si>
  <si>
    <t>Member 016</t>
  </si>
  <si>
    <t>2026-06-14</t>
  </si>
  <si>
    <t>SUB017</t>
  </si>
  <si>
    <t>member017@example.com</t>
  </si>
  <si>
    <t>Member 017</t>
  </si>
  <si>
    <t>2026-06-09</t>
  </si>
  <si>
    <t>SUB018</t>
  </si>
  <si>
    <t>member018@example.com</t>
  </si>
  <si>
    <t>Member 018</t>
  </si>
  <si>
    <t>2026-06-07</t>
  </si>
  <si>
    <t>SUB019</t>
  </si>
  <si>
    <t>member019@example.com</t>
  </si>
  <si>
    <t>Member 019</t>
  </si>
  <si>
    <t>2026-06-04</t>
  </si>
  <si>
    <t>SUB020</t>
  </si>
  <si>
    <t>member020@example.com</t>
  </si>
  <si>
    <t>Member 020</t>
  </si>
  <si>
    <t>2026-06-13</t>
  </si>
  <si>
    <t>SUB021</t>
  </si>
  <si>
    <t>member021@example.com</t>
  </si>
  <si>
    <t>Member 021</t>
  </si>
  <si>
    <t>2026-06-12</t>
  </si>
  <si>
    <t>SUB022</t>
  </si>
  <si>
    <t>member022@example.com</t>
  </si>
  <si>
    <t>Member 022</t>
  </si>
  <si>
    <t>SUB023</t>
  </si>
  <si>
    <t>member023@example.com</t>
  </si>
  <si>
    <t>Member 023</t>
  </si>
  <si>
    <t>SUB024</t>
  </si>
  <si>
    <t>member024@example.com</t>
  </si>
  <si>
    <t>Member 024</t>
  </si>
  <si>
    <t>SUB025</t>
  </si>
  <si>
    <t>member025@example.com</t>
  </si>
  <si>
    <t>Member 025</t>
  </si>
  <si>
    <t>Timestamp</t>
  </si>
  <si>
    <t>Interest Category</t>
  </si>
  <si>
    <t>CLK0001</t>
  </si>
  <si>
    <t>2026-06-19 09:00</t>
  </si>
  <si>
    <t>Coffee</t>
  </si>
  <si>
    <t>CLK0002</t>
  </si>
  <si>
    <t>2026-06-14 09:00</t>
  </si>
  <si>
    <t>Location</t>
  </si>
  <si>
    <t>CLK0003</t>
  </si>
  <si>
    <t>2026-06-28 18:00</t>
  </si>
  <si>
    <t>CLK0004</t>
  </si>
  <si>
    <t>2026-06-13 17:00</t>
  </si>
  <si>
    <t>CLK0005</t>
  </si>
  <si>
    <t>2026-06-04 08:00</t>
  </si>
  <si>
    <t>Shop</t>
  </si>
  <si>
    <t>CLK0006</t>
  </si>
  <si>
    <t>2026-06-26 12:00</t>
  </si>
  <si>
    <t>CLK0007</t>
  </si>
  <si>
    <t>2026-06-16 21:00</t>
  </si>
  <si>
    <t>CLK0008</t>
  </si>
  <si>
    <t>2026-06-17 15:00</t>
  </si>
  <si>
    <t>CLK0009</t>
  </si>
  <si>
    <t>2026-06-20 10:00</t>
  </si>
  <si>
    <t>CLK0010</t>
  </si>
  <si>
    <t>2026-06-15 18:00</t>
  </si>
  <si>
    <t>CLK0011</t>
  </si>
  <si>
    <t>2026-06-30 18:00</t>
  </si>
  <si>
    <t>CLK0012</t>
  </si>
  <si>
    <t>2026-06-29 10:00</t>
  </si>
  <si>
    <t>CLK0013</t>
  </si>
  <si>
    <t>2026-06-16 10:00</t>
  </si>
  <si>
    <t>CLK0014</t>
  </si>
  <si>
    <t>2026-06-17 18:00</t>
  </si>
  <si>
    <t>CLK0015</t>
  </si>
  <si>
    <t>2026-06-13 18:00</t>
  </si>
  <si>
    <t>CLK0016</t>
  </si>
  <si>
    <t>2026-06-30 20:00</t>
  </si>
  <si>
    <t>CLK0017</t>
  </si>
  <si>
    <t>2026-07-02 08:00</t>
  </si>
  <si>
    <t>CLK0018</t>
  </si>
  <si>
    <t>2026-06-18 12:00</t>
  </si>
  <si>
    <t>CLK0019</t>
  </si>
  <si>
    <t>2026-06-24 19:00</t>
  </si>
  <si>
    <t>CLK0020</t>
  </si>
  <si>
    <t>2026-06-26 15:00</t>
  </si>
  <si>
    <t>CLK0021</t>
  </si>
  <si>
    <t>CLK0022</t>
  </si>
  <si>
    <t>2026-06-23 11:00</t>
  </si>
  <si>
    <t>CLK0023</t>
  </si>
  <si>
    <t>2026-07-06 12:00</t>
  </si>
  <si>
    <t>CLK0024</t>
  </si>
  <si>
    <t>2026-07-02 17:00</t>
  </si>
  <si>
    <t>CLK0025</t>
  </si>
  <si>
    <t>2026-06-26 10:00</t>
  </si>
  <si>
    <t>CLK0026</t>
  </si>
  <si>
    <t>2026-06-21 20:00</t>
  </si>
  <si>
    <t>CLK0027</t>
  </si>
  <si>
    <t>2026-06-22 10:00</t>
  </si>
  <si>
    <t>CLK0028</t>
  </si>
  <si>
    <t>2026-07-15 18:00</t>
  </si>
  <si>
    <t>CLK0029</t>
  </si>
  <si>
    <t>2026-06-22 14:00</t>
  </si>
  <si>
    <t>CLK0030</t>
  </si>
  <si>
    <t>2026-07-04 16:00</t>
  </si>
  <si>
    <t>CLK0031</t>
  </si>
  <si>
    <t>2026-06-20 21:00</t>
  </si>
  <si>
    <t>CLK0032</t>
  </si>
  <si>
    <t>CLK0033</t>
  </si>
  <si>
    <t>2026-06-20 20:00</t>
  </si>
  <si>
    <t>CLK0034</t>
  </si>
  <si>
    <t>2026-06-23 13:00</t>
  </si>
  <si>
    <t>CLK0035</t>
  </si>
  <si>
    <t>2026-06-17 10:00</t>
  </si>
  <si>
    <t>CLK0036</t>
  </si>
  <si>
    <t>2026-06-27 19:00</t>
  </si>
  <si>
    <t>CLK0037</t>
  </si>
  <si>
    <t>CLK0038</t>
  </si>
  <si>
    <t>2026-06-12 21:00</t>
  </si>
  <si>
    <t>CLK0039</t>
  </si>
  <si>
    <t>2026-07-05 18:00</t>
  </si>
  <si>
    <t>CLK0040</t>
  </si>
  <si>
    <t>2026-06-15 10:00</t>
  </si>
  <si>
    <t>CLK0041</t>
  </si>
  <si>
    <t>2026-06-26 16:00</t>
  </si>
  <si>
    <t>CLK0042</t>
  </si>
  <si>
    <t>2026-07-07 08:00</t>
  </si>
  <si>
    <t>CLK0043</t>
  </si>
  <si>
    <t>2026-07-06 08:00</t>
  </si>
  <si>
    <t>CLK0044</t>
  </si>
  <si>
    <t>2026-07-02 21:00</t>
  </si>
  <si>
    <t>CLK0045</t>
  </si>
  <si>
    <t>2026-06-28 08:00</t>
  </si>
  <si>
    <t>CLK0046</t>
  </si>
  <si>
    <t>2026-07-07 09:00</t>
  </si>
  <si>
    <t>CLK0047</t>
  </si>
  <si>
    <t>2026-07-04 21:00</t>
  </si>
  <si>
    <t>CLK0048</t>
  </si>
  <si>
    <t>2026-07-13 16:00</t>
  </si>
  <si>
    <t>CLK0049</t>
  </si>
  <si>
    <t>2026-06-26 18:00</t>
  </si>
  <si>
    <t>CLK0050</t>
  </si>
  <si>
    <t>2026-07-09 10:00</t>
  </si>
  <si>
    <t>CLK0051</t>
  </si>
  <si>
    <t>2026-07-11 14:00</t>
  </si>
  <si>
    <t>CLK0052</t>
  </si>
  <si>
    <t>2026-07-06 20:00</t>
  </si>
  <si>
    <t>CLK0053</t>
  </si>
  <si>
    <t>2026-06-25 19:00</t>
  </si>
  <si>
    <t>CLK0054</t>
  </si>
  <si>
    <t>2026-07-10 18:00</t>
  </si>
  <si>
    <t>CLK0055</t>
  </si>
  <si>
    <t>2026-07-05 15:00</t>
  </si>
  <si>
    <t>CLK0056</t>
  </si>
  <si>
    <t>2026-06-26 09:00</t>
  </si>
  <si>
    <t>CLK0057</t>
  </si>
  <si>
    <t>2026-06-27 16:00</t>
  </si>
  <si>
    <t>CLK0058</t>
  </si>
  <si>
    <t>2026-06-16 08:00</t>
  </si>
  <si>
    <t>CLK0059</t>
  </si>
  <si>
    <t>2026-07-10 08:00</t>
  </si>
  <si>
    <t>CLK0060</t>
  </si>
  <si>
    <t>2026-06-21 21:00</t>
  </si>
  <si>
    <t>CLK0061</t>
  </si>
  <si>
    <t>2026-06-18 11:00</t>
  </si>
  <si>
    <t>CLK0062</t>
  </si>
  <si>
    <t>2026-06-17 11:00</t>
  </si>
  <si>
    <t>CLK0063</t>
  </si>
  <si>
    <t>2026-07-08 17:00</t>
  </si>
  <si>
    <t>CLK0064</t>
  </si>
  <si>
    <t>2026-06-17 20:00</t>
  </si>
  <si>
    <t>CLK0065</t>
  </si>
  <si>
    <t>CLK0066</t>
  </si>
  <si>
    <t>2026-06-29 14:00</t>
  </si>
  <si>
    <t>CLK0067</t>
  </si>
  <si>
    <t>2026-06-18 15:00</t>
  </si>
  <si>
    <t>CLK0068</t>
  </si>
  <si>
    <t>2026-06-06 18:00</t>
  </si>
  <si>
    <t>CLK0069</t>
  </si>
  <si>
    <t>2026-07-04 09:00</t>
  </si>
  <si>
    <t>CLK0070</t>
  </si>
  <si>
    <t>2026-07-06 13:00</t>
  </si>
  <si>
    <t>Total Clicks</t>
  </si>
  <si>
    <t>Customer Tier</t>
  </si>
  <si>
    <t>Discount Code</t>
  </si>
  <si>
    <t>First Sent Date</t>
  </si>
  <si>
    <t>Redeemed</t>
  </si>
  <si>
    <t>Active</t>
  </si>
  <si>
    <t>SUIGA-001DH</t>
  </si>
  <si>
    <t>2026-06-15</t>
  </si>
  <si>
    <t>No</t>
  </si>
  <si>
    <t>SUIGA-002TQ</t>
  </si>
  <si>
    <t>2026-06-22</t>
  </si>
  <si>
    <t>Yes</t>
  </si>
  <si>
    <t>SUIGA-003FJ</t>
  </si>
  <si>
    <t>SUIGA-004CQ</t>
  </si>
  <si>
    <t>2026-07-02</t>
  </si>
  <si>
    <t>Regular</t>
  </si>
  <si>
    <t>SUIGA-005TD</t>
  </si>
  <si>
    <t>2026-07-03</t>
  </si>
  <si>
    <t>SUIGA-006TA</t>
  </si>
  <si>
    <t>2026-06-16</t>
  </si>
  <si>
    <t>SUIGA-007HF</t>
  </si>
  <si>
    <t>2026-06-17</t>
  </si>
  <si>
    <t>SUIGA-008RG</t>
  </si>
  <si>
    <t>SUIGA-009BF</t>
  </si>
  <si>
    <t>2026-07-04</t>
  </si>
  <si>
    <t>SUIGA-010NJ</t>
  </si>
  <si>
    <t>SUIGA-011QK</t>
  </si>
  <si>
    <t>2026-07-05</t>
  </si>
  <si>
    <t>SUIGA-012ZT</t>
  </si>
  <si>
    <t>Cold</t>
  </si>
  <si>
    <t>SUIGA-013RE</t>
  </si>
  <si>
    <t>SUIGA-014GB</t>
  </si>
  <si>
    <t>SUIGA-015TB</t>
  </si>
  <si>
    <t>SUIGA-016BB</t>
  </si>
  <si>
    <t>2026-06-28</t>
  </si>
  <si>
    <t>SUIGA-017SS</t>
  </si>
  <si>
    <t>2026-06-23</t>
  </si>
  <si>
    <t>SUIGA-018SC</t>
  </si>
  <si>
    <t>SUIGA-019CV</t>
  </si>
  <si>
    <t>SUIGA-020HN</t>
  </si>
  <si>
    <t>2026-06-27</t>
  </si>
  <si>
    <t>SUIGA-021UH</t>
  </si>
  <si>
    <t>2026-06-26</t>
  </si>
  <si>
    <t>Customer Tier Distribution</t>
  </si>
  <si>
    <t>Tier</t>
  </si>
  <si>
    <t>Count</t>
  </si>
  <si>
    <t>No-click</t>
  </si>
  <si>
    <t>Clicks by Interest Category</t>
  </si>
  <si>
    <t>Category</t>
  </si>
  <si>
    <t>Clicks</t>
  </si>
  <si>
    <t>Summary</t>
  </si>
  <si>
    <t>Total subscribers</t>
  </si>
  <si>
    <t>Total clicks logged</t>
  </si>
  <si>
    <t>Discount codes issued</t>
  </si>
  <si>
    <t>Discount codes redeemed</t>
  </si>
  <si>
    <t>Redemption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</si>
</sst>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8" x14ac:knownFonts="1">
    <font>
      <sz val="11"/>
      <color theme="1"/>
      <name val="Calibri"/>
      <family val="2"/>
      <charset val="1"/>
    </font>
    <font>
      <sz val="9"/>
      <name val="細明體"/>
      <family val="3"/>
      <charset val="136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0.5"/>
      <name val="Calibri"/>
      <family val="2"/>
    </font>
    <font>
      <b/>
      <sz val="10.5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A9188"/>
        <bgColor rgb="FF00808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176" fontId="6" fillId="0" borderId="0" xfId="0" applyNumberFormat="1" applyFont="1"/>
    <xf numFmtId="0" fontId="7" fillId="2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A9188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1" i="0" u="none" strike="noStrike" baseline="0">
                <a:effectLst/>
              </a:rPr>
              <a:t>Clicks by Interest Category</a:t>
            </a:r>
            <a:r>
              <a:rPr lang="en-US" altLang="zh-TW" sz="1400" b="0" i="0" u="none" strike="noStrike" baseline="0"/>
              <a:t> </a:t>
            </a:r>
            <a:endParaRPr lang="zh-TW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Summary'!$A$10:$A$12</c:f>
              <c:strCache>
                <c:ptCount val="3"/>
                <c:pt idx="0">
                  <c:v>Shop</c:v>
                </c:pt>
                <c:pt idx="1">
                  <c:v>Coffee</c:v>
                </c:pt>
                <c:pt idx="2">
                  <c:v>Location</c:v>
                </c:pt>
              </c:strCache>
            </c:strRef>
          </c:cat>
          <c:val>
            <c:numRef>
              <c:f>'Dashboard Summary'!$B$10:$B$12</c:f>
              <c:numCache>
                <c:formatCode>General</c:formatCode>
                <c:ptCount val="3"/>
                <c:pt idx="0">
                  <c:v>39</c:v>
                </c:pt>
                <c:pt idx="1">
                  <c:v>23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4-49FD-9D0B-2B251E3C9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8318399"/>
        <c:axId val="998319231"/>
      </c:barChart>
      <c:catAx>
        <c:axId val="998318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98319231"/>
        <c:crosses val="autoZero"/>
        <c:auto val="1"/>
        <c:lblAlgn val="ctr"/>
        <c:lblOffset val="100"/>
        <c:noMultiLvlLbl val="0"/>
      </c:catAx>
      <c:valAx>
        <c:axId val="99831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9831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1" i="0" u="none" strike="noStrike" baseline="0">
                <a:effectLst/>
              </a:rPr>
              <a:t>Customer Tier Distribution</a:t>
            </a:r>
            <a:r>
              <a:rPr lang="en-US" altLang="zh-TW" sz="1400" b="0" i="0" u="none" strike="noStrike" baseline="0"/>
              <a:t> </a:t>
            </a:r>
            <a:endParaRPr lang="zh-TW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Summary'!$A$16:$A$19</c:f>
              <c:strCache>
                <c:ptCount val="4"/>
                <c:pt idx="0">
                  <c:v>Active</c:v>
                </c:pt>
                <c:pt idx="1">
                  <c:v>Regular</c:v>
                </c:pt>
                <c:pt idx="2">
                  <c:v>Cold</c:v>
                </c:pt>
                <c:pt idx="3">
                  <c:v>No-click</c:v>
                </c:pt>
              </c:strCache>
            </c:strRef>
          </c:cat>
          <c:val>
            <c:numRef>
              <c:f>'Dashboard Summary'!$B$16:$B$19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9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6-42B6-8717-6CE49A759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6199471"/>
        <c:axId val="556201551"/>
      </c:barChart>
      <c:catAx>
        <c:axId val="55619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56201551"/>
        <c:crosses val="autoZero"/>
        <c:auto val="1"/>
        <c:lblAlgn val="ctr"/>
        <c:lblOffset val="100"/>
        <c:noMultiLvlLbl val="0"/>
      </c:catAx>
      <c:valAx>
        <c:axId val="55620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5619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0</xdr:row>
      <xdr:rowOff>0</xdr:rowOff>
    </xdr:from>
    <xdr:to>
      <xdr:col>10</xdr:col>
      <xdr:colOff>381000</xdr:colOff>
      <xdr:row>15</xdr:row>
      <xdr:rowOff>0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556260</xdr:colOff>
      <xdr:row>14</xdr:row>
      <xdr:rowOff>179070</xdr:rowOff>
    </xdr:from>
    <xdr:to>
      <xdr:col>10</xdr:col>
      <xdr:colOff>373380</xdr:colOff>
      <xdr:row>29</xdr:row>
      <xdr:rowOff>179070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zoomScaleNormal="100" workbookViewId="0">
      <selection activeCell="G14" sqref="G14"/>
    </sheetView>
  </sheetViews>
  <sheetFormatPr defaultColWidth="8.6640625" defaultRowHeight="14.4" x14ac:dyDescent="0.3"/>
  <cols>
    <col min="1" max="1" width="17" customWidth="1"/>
    <col min="2" max="2" width="25" customWidth="1"/>
    <col min="3" max="3" width="14" customWidth="1"/>
    <col min="4" max="4" width="2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3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3">
      <c r="A7" s="2" t="s">
        <v>24</v>
      </c>
      <c r="B7" s="2" t="s">
        <v>25</v>
      </c>
      <c r="C7" s="2" t="s">
        <v>26</v>
      </c>
      <c r="D7" s="2" t="s">
        <v>27</v>
      </c>
    </row>
    <row r="8" spans="1:4" x14ac:dyDescent="0.3">
      <c r="A8" s="2" t="s">
        <v>28</v>
      </c>
      <c r="B8" s="2" t="s">
        <v>29</v>
      </c>
      <c r="C8" s="2" t="s">
        <v>30</v>
      </c>
      <c r="D8" s="2" t="s">
        <v>31</v>
      </c>
    </row>
    <row r="9" spans="1:4" x14ac:dyDescent="0.3">
      <c r="A9" s="2" t="s">
        <v>32</v>
      </c>
      <c r="B9" s="2" t="s">
        <v>33</v>
      </c>
      <c r="C9" s="2" t="s">
        <v>34</v>
      </c>
      <c r="D9" s="2" t="s">
        <v>11</v>
      </c>
    </row>
    <row r="10" spans="1:4" x14ac:dyDescent="0.3">
      <c r="A10" s="2" t="s">
        <v>35</v>
      </c>
      <c r="B10" s="2" t="s">
        <v>36</v>
      </c>
      <c r="C10" s="2" t="s">
        <v>37</v>
      </c>
      <c r="D10" s="2" t="s">
        <v>38</v>
      </c>
    </row>
    <row r="11" spans="1:4" x14ac:dyDescent="0.3">
      <c r="A11" s="2" t="s">
        <v>39</v>
      </c>
      <c r="B11" s="2" t="s">
        <v>40</v>
      </c>
      <c r="C11" s="2" t="s">
        <v>41</v>
      </c>
      <c r="D11" s="2" t="s">
        <v>19</v>
      </c>
    </row>
    <row r="12" spans="1:4" x14ac:dyDescent="0.3">
      <c r="A12" s="2" t="s">
        <v>42</v>
      </c>
      <c r="B12" s="2" t="s">
        <v>43</v>
      </c>
      <c r="C12" s="2" t="s">
        <v>44</v>
      </c>
      <c r="D12" s="2" t="s">
        <v>45</v>
      </c>
    </row>
    <row r="13" spans="1:4" x14ac:dyDescent="0.3">
      <c r="A13" s="2" t="s">
        <v>46</v>
      </c>
      <c r="B13" s="2" t="s">
        <v>47</v>
      </c>
      <c r="C13" s="2" t="s">
        <v>48</v>
      </c>
      <c r="D13" s="2" t="s">
        <v>19</v>
      </c>
    </row>
    <row r="14" spans="1:4" x14ac:dyDescent="0.3">
      <c r="A14" s="2" t="s">
        <v>49</v>
      </c>
      <c r="B14" s="2" t="s">
        <v>50</v>
      </c>
      <c r="C14" s="2" t="s">
        <v>51</v>
      </c>
      <c r="D14" s="2" t="s">
        <v>11</v>
      </c>
    </row>
    <row r="15" spans="1:4" x14ac:dyDescent="0.3">
      <c r="A15" s="2" t="s">
        <v>52</v>
      </c>
      <c r="B15" s="2" t="s">
        <v>53</v>
      </c>
      <c r="C15" s="2" t="s">
        <v>54</v>
      </c>
      <c r="D15" s="2" t="s">
        <v>23</v>
      </c>
    </row>
    <row r="16" spans="1:4" x14ac:dyDescent="0.3">
      <c r="A16" s="2" t="s">
        <v>55</v>
      </c>
      <c r="B16" s="2" t="s">
        <v>56</v>
      </c>
      <c r="C16" s="2" t="s">
        <v>57</v>
      </c>
      <c r="D16" s="2" t="s">
        <v>7</v>
      </c>
    </row>
    <row r="17" spans="1:4" x14ac:dyDescent="0.3">
      <c r="A17" s="2" t="s">
        <v>58</v>
      </c>
      <c r="B17" s="2" t="s">
        <v>59</v>
      </c>
      <c r="C17" s="2" t="s">
        <v>60</v>
      </c>
      <c r="D17" s="2" t="s">
        <v>61</v>
      </c>
    </row>
    <row r="18" spans="1:4" x14ac:dyDescent="0.3">
      <c r="A18" s="2" t="s">
        <v>62</v>
      </c>
      <c r="B18" s="2" t="s">
        <v>63</v>
      </c>
      <c r="C18" s="2" t="s">
        <v>64</v>
      </c>
      <c r="D18" s="2" t="s">
        <v>65</v>
      </c>
    </row>
    <row r="19" spans="1:4" x14ac:dyDescent="0.3">
      <c r="A19" s="2" t="s">
        <v>66</v>
      </c>
      <c r="B19" s="2" t="s">
        <v>67</v>
      </c>
      <c r="C19" s="2" t="s">
        <v>68</v>
      </c>
      <c r="D19" s="2" t="s">
        <v>69</v>
      </c>
    </row>
    <row r="20" spans="1:4" x14ac:dyDescent="0.3">
      <c r="A20" s="2" t="s">
        <v>70</v>
      </c>
      <c r="B20" s="2" t="s">
        <v>71</v>
      </c>
      <c r="C20" s="2" t="s">
        <v>72</v>
      </c>
      <c r="D20" s="2" t="s">
        <v>73</v>
      </c>
    </row>
    <row r="21" spans="1:4" x14ac:dyDescent="0.3">
      <c r="A21" s="2" t="s">
        <v>74</v>
      </c>
      <c r="B21" s="2" t="s">
        <v>75</v>
      </c>
      <c r="C21" s="2" t="s">
        <v>76</v>
      </c>
      <c r="D21" s="2" t="s">
        <v>77</v>
      </c>
    </row>
    <row r="22" spans="1:4" x14ac:dyDescent="0.3">
      <c r="A22" s="2" t="s">
        <v>78</v>
      </c>
      <c r="B22" s="2" t="s">
        <v>79</v>
      </c>
      <c r="C22" s="2" t="s">
        <v>80</v>
      </c>
      <c r="D22" s="2" t="s">
        <v>81</v>
      </c>
    </row>
    <row r="23" spans="1:4" x14ac:dyDescent="0.3">
      <c r="A23" s="2" t="s">
        <v>82</v>
      </c>
      <c r="B23" s="2" t="s">
        <v>83</v>
      </c>
      <c r="C23" s="2" t="s">
        <v>84</v>
      </c>
      <c r="D23" s="2" t="s">
        <v>81</v>
      </c>
    </row>
    <row r="24" spans="1:4" x14ac:dyDescent="0.3">
      <c r="A24" s="2" t="s">
        <v>85</v>
      </c>
      <c r="B24" s="2" t="s">
        <v>86</v>
      </c>
      <c r="C24" s="2" t="s">
        <v>87</v>
      </c>
      <c r="D24" s="2" t="s">
        <v>38</v>
      </c>
    </row>
    <row r="25" spans="1:4" x14ac:dyDescent="0.3">
      <c r="A25" s="2" t="s">
        <v>88</v>
      </c>
      <c r="B25" s="2" t="s">
        <v>89</v>
      </c>
      <c r="C25" s="2" t="s">
        <v>90</v>
      </c>
      <c r="D25" s="2" t="s">
        <v>65</v>
      </c>
    </row>
    <row r="26" spans="1:4" x14ac:dyDescent="0.3">
      <c r="A26" s="2" t="s">
        <v>91</v>
      </c>
      <c r="B26" s="2" t="s">
        <v>92</v>
      </c>
      <c r="C26" s="2" t="s">
        <v>93</v>
      </c>
      <c r="D26" s="2" t="s">
        <v>27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zoomScaleNormal="100" workbookViewId="0">
      <selection activeCell="G16" sqref="G16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7" customWidth="1"/>
    <col min="4" max="4" width="21" customWidth="1"/>
  </cols>
  <sheetData>
    <row r="1" spans="1:4" x14ac:dyDescent="0.3">
      <c r="A1" s="1"/>
      <c r="B1" s="1" t="s">
        <v>94</v>
      </c>
      <c r="C1" s="1" t="s">
        <v>0</v>
      </c>
      <c r="D1" s="1" t="s">
        <v>95</v>
      </c>
    </row>
    <row r="2" spans="1:4" x14ac:dyDescent="0.3">
      <c r="A2" s="2" t="s">
        <v>96</v>
      </c>
      <c r="B2" s="2" t="s">
        <v>97</v>
      </c>
      <c r="C2" s="2" t="s">
        <v>4</v>
      </c>
      <c r="D2" s="2" t="s">
        <v>98</v>
      </c>
    </row>
    <row r="3" spans="1:4" x14ac:dyDescent="0.3">
      <c r="A3" s="2" t="s">
        <v>99</v>
      </c>
      <c r="B3" s="2" t="s">
        <v>100</v>
      </c>
      <c r="C3" s="2" t="s">
        <v>4</v>
      </c>
      <c r="D3" s="2" t="s">
        <v>101</v>
      </c>
    </row>
    <row r="4" spans="1:4" x14ac:dyDescent="0.3">
      <c r="A4" s="2" t="s">
        <v>102</v>
      </c>
      <c r="B4" s="2" t="s">
        <v>103</v>
      </c>
      <c r="C4" s="2" t="s">
        <v>4</v>
      </c>
      <c r="D4" s="2" t="s">
        <v>98</v>
      </c>
    </row>
    <row r="5" spans="1:4" x14ac:dyDescent="0.3">
      <c r="A5" s="2" t="s">
        <v>104</v>
      </c>
      <c r="B5" s="2" t="s">
        <v>105</v>
      </c>
      <c r="C5" s="2" t="s">
        <v>4</v>
      </c>
      <c r="D5" s="2" t="s">
        <v>98</v>
      </c>
    </row>
    <row r="6" spans="1:4" x14ac:dyDescent="0.3">
      <c r="A6" s="2" t="s">
        <v>106</v>
      </c>
      <c r="B6" s="2" t="s">
        <v>107</v>
      </c>
      <c r="C6" s="2" t="s">
        <v>4</v>
      </c>
      <c r="D6" s="2" t="s">
        <v>108</v>
      </c>
    </row>
    <row r="7" spans="1:4" x14ac:dyDescent="0.3">
      <c r="A7" s="2" t="s">
        <v>109</v>
      </c>
      <c r="B7" s="2" t="s">
        <v>110</v>
      </c>
      <c r="C7" s="2" t="s">
        <v>4</v>
      </c>
      <c r="D7" s="2" t="s">
        <v>98</v>
      </c>
    </row>
    <row r="8" spans="1:4" x14ac:dyDescent="0.3">
      <c r="A8" s="2" t="s">
        <v>111</v>
      </c>
      <c r="B8" s="2" t="s">
        <v>112</v>
      </c>
      <c r="C8" s="2" t="s">
        <v>8</v>
      </c>
      <c r="D8" s="2" t="s">
        <v>101</v>
      </c>
    </row>
    <row r="9" spans="1:4" x14ac:dyDescent="0.3">
      <c r="A9" s="2" t="s">
        <v>113</v>
      </c>
      <c r="B9" s="2" t="s">
        <v>114</v>
      </c>
      <c r="C9" s="2" t="s">
        <v>8</v>
      </c>
      <c r="D9" s="2" t="s">
        <v>108</v>
      </c>
    </row>
    <row r="10" spans="1:4" x14ac:dyDescent="0.3">
      <c r="A10" s="2" t="s">
        <v>115</v>
      </c>
      <c r="B10" s="2" t="s">
        <v>116</v>
      </c>
      <c r="C10" s="2" t="s">
        <v>8</v>
      </c>
      <c r="D10" s="2" t="s">
        <v>98</v>
      </c>
    </row>
    <row r="11" spans="1:4" x14ac:dyDescent="0.3">
      <c r="A11" s="2" t="s">
        <v>117</v>
      </c>
      <c r="B11" s="2" t="s">
        <v>118</v>
      </c>
      <c r="C11" s="2" t="s">
        <v>8</v>
      </c>
      <c r="D11" s="2" t="s">
        <v>108</v>
      </c>
    </row>
    <row r="12" spans="1:4" x14ac:dyDescent="0.3">
      <c r="A12" s="2" t="s">
        <v>119</v>
      </c>
      <c r="B12" s="2" t="s">
        <v>120</v>
      </c>
      <c r="C12" s="2" t="s">
        <v>8</v>
      </c>
      <c r="D12" s="2" t="s">
        <v>108</v>
      </c>
    </row>
    <row r="13" spans="1:4" x14ac:dyDescent="0.3">
      <c r="A13" s="2" t="s">
        <v>121</v>
      </c>
      <c r="B13" s="2" t="s">
        <v>122</v>
      </c>
      <c r="C13" s="2" t="s">
        <v>8</v>
      </c>
      <c r="D13" s="2" t="s">
        <v>108</v>
      </c>
    </row>
    <row r="14" spans="1:4" x14ac:dyDescent="0.3">
      <c r="A14" s="2" t="s">
        <v>123</v>
      </c>
      <c r="B14" s="2" t="s">
        <v>124</v>
      </c>
      <c r="C14" s="2" t="s">
        <v>8</v>
      </c>
      <c r="D14" s="2" t="s">
        <v>98</v>
      </c>
    </row>
    <row r="15" spans="1:4" x14ac:dyDescent="0.3">
      <c r="A15" s="2" t="s">
        <v>125</v>
      </c>
      <c r="B15" s="2" t="s">
        <v>126</v>
      </c>
      <c r="C15" s="2" t="s">
        <v>8</v>
      </c>
      <c r="D15" s="2" t="s">
        <v>98</v>
      </c>
    </row>
    <row r="16" spans="1:4" x14ac:dyDescent="0.3">
      <c r="A16" s="2" t="s">
        <v>127</v>
      </c>
      <c r="B16" s="2" t="s">
        <v>128</v>
      </c>
      <c r="C16" s="2" t="s">
        <v>12</v>
      </c>
      <c r="D16" s="2" t="s">
        <v>98</v>
      </c>
    </row>
    <row r="17" spans="1:4" x14ac:dyDescent="0.3">
      <c r="A17" s="2" t="s">
        <v>129</v>
      </c>
      <c r="B17" s="2" t="s">
        <v>130</v>
      </c>
      <c r="C17" s="2" t="s">
        <v>12</v>
      </c>
      <c r="D17" s="2" t="s">
        <v>108</v>
      </c>
    </row>
    <row r="18" spans="1:4" x14ac:dyDescent="0.3">
      <c r="A18" s="2" t="s">
        <v>131</v>
      </c>
      <c r="B18" s="2" t="s">
        <v>132</v>
      </c>
      <c r="C18" s="2" t="s">
        <v>12</v>
      </c>
      <c r="D18" s="2" t="s">
        <v>108</v>
      </c>
    </row>
    <row r="19" spans="1:4" x14ac:dyDescent="0.3">
      <c r="A19" s="2" t="s">
        <v>133</v>
      </c>
      <c r="B19" s="2" t="s">
        <v>134</v>
      </c>
      <c r="C19" s="2" t="s">
        <v>12</v>
      </c>
      <c r="D19" s="2" t="s">
        <v>101</v>
      </c>
    </row>
    <row r="20" spans="1:4" x14ac:dyDescent="0.3">
      <c r="A20" s="2" t="s">
        <v>135</v>
      </c>
      <c r="B20" s="2" t="s">
        <v>136</v>
      </c>
      <c r="C20" s="2" t="s">
        <v>12</v>
      </c>
      <c r="D20" s="2" t="s">
        <v>108</v>
      </c>
    </row>
    <row r="21" spans="1:4" x14ac:dyDescent="0.3">
      <c r="A21" s="2" t="s">
        <v>137</v>
      </c>
      <c r="B21" s="2" t="s">
        <v>138</v>
      </c>
      <c r="C21" s="2" t="s">
        <v>12</v>
      </c>
      <c r="D21" s="2" t="s">
        <v>108</v>
      </c>
    </row>
    <row r="22" spans="1:4" x14ac:dyDescent="0.3">
      <c r="A22" s="2" t="s">
        <v>139</v>
      </c>
      <c r="B22" s="2" t="s">
        <v>138</v>
      </c>
      <c r="C22" s="2" t="s">
        <v>12</v>
      </c>
      <c r="D22" s="2" t="s">
        <v>108</v>
      </c>
    </row>
    <row r="23" spans="1:4" x14ac:dyDescent="0.3">
      <c r="A23" s="2" t="s">
        <v>140</v>
      </c>
      <c r="B23" s="2" t="s">
        <v>141</v>
      </c>
      <c r="C23" s="2" t="s">
        <v>16</v>
      </c>
      <c r="D23" s="2" t="s">
        <v>108</v>
      </c>
    </row>
    <row r="24" spans="1:4" x14ac:dyDescent="0.3">
      <c r="A24" s="2" t="s">
        <v>142</v>
      </c>
      <c r="B24" s="2" t="s">
        <v>143</v>
      </c>
      <c r="C24" s="2" t="s">
        <v>16</v>
      </c>
      <c r="D24" s="2" t="s">
        <v>98</v>
      </c>
    </row>
    <row r="25" spans="1:4" x14ac:dyDescent="0.3">
      <c r="A25" s="2" t="s">
        <v>144</v>
      </c>
      <c r="B25" s="2" t="s">
        <v>145</v>
      </c>
      <c r="C25" s="2" t="s">
        <v>16</v>
      </c>
      <c r="D25" s="2" t="s">
        <v>98</v>
      </c>
    </row>
    <row r="26" spans="1:4" x14ac:dyDescent="0.3">
      <c r="A26" s="2" t="s">
        <v>146</v>
      </c>
      <c r="B26" s="2" t="s">
        <v>147</v>
      </c>
      <c r="C26" s="2" t="s">
        <v>16</v>
      </c>
      <c r="D26" s="2" t="s">
        <v>108</v>
      </c>
    </row>
    <row r="27" spans="1:4" x14ac:dyDescent="0.3">
      <c r="A27" s="2" t="s">
        <v>148</v>
      </c>
      <c r="B27" s="2" t="s">
        <v>149</v>
      </c>
      <c r="C27" s="2" t="s">
        <v>16</v>
      </c>
      <c r="D27" s="2" t="s">
        <v>98</v>
      </c>
    </row>
    <row r="28" spans="1:4" x14ac:dyDescent="0.3">
      <c r="A28" s="2" t="s">
        <v>150</v>
      </c>
      <c r="B28" s="2" t="s">
        <v>151</v>
      </c>
      <c r="C28" s="2" t="s">
        <v>16</v>
      </c>
      <c r="D28" s="2" t="s">
        <v>108</v>
      </c>
    </row>
    <row r="29" spans="1:4" x14ac:dyDescent="0.3">
      <c r="A29" s="2" t="s">
        <v>152</v>
      </c>
      <c r="B29" s="2" t="s">
        <v>153</v>
      </c>
      <c r="C29" s="2" t="s">
        <v>20</v>
      </c>
      <c r="D29" s="2" t="s">
        <v>98</v>
      </c>
    </row>
    <row r="30" spans="1:4" x14ac:dyDescent="0.3">
      <c r="A30" s="2" t="s">
        <v>154</v>
      </c>
      <c r="B30" s="2" t="s">
        <v>155</v>
      </c>
      <c r="C30" s="2" t="s">
        <v>20</v>
      </c>
      <c r="D30" s="2" t="s">
        <v>108</v>
      </c>
    </row>
    <row r="31" spans="1:4" x14ac:dyDescent="0.3">
      <c r="A31" s="2" t="s">
        <v>156</v>
      </c>
      <c r="B31" s="2" t="s">
        <v>157</v>
      </c>
      <c r="C31" s="2" t="s">
        <v>20</v>
      </c>
      <c r="D31" s="2" t="s">
        <v>108</v>
      </c>
    </row>
    <row r="32" spans="1:4" x14ac:dyDescent="0.3">
      <c r="A32" s="2" t="s">
        <v>158</v>
      </c>
      <c r="B32" s="2" t="s">
        <v>159</v>
      </c>
      <c r="C32" s="2" t="s">
        <v>24</v>
      </c>
      <c r="D32" s="2" t="s">
        <v>108</v>
      </c>
    </row>
    <row r="33" spans="1:4" x14ac:dyDescent="0.3">
      <c r="A33" s="2" t="s">
        <v>160</v>
      </c>
      <c r="B33" s="2" t="s">
        <v>136</v>
      </c>
      <c r="C33" s="2" t="s">
        <v>24</v>
      </c>
      <c r="D33" s="2" t="s">
        <v>101</v>
      </c>
    </row>
    <row r="34" spans="1:4" x14ac:dyDescent="0.3">
      <c r="A34" s="2" t="s">
        <v>161</v>
      </c>
      <c r="B34" s="2" t="s">
        <v>162</v>
      </c>
      <c r="C34" s="2" t="s">
        <v>24</v>
      </c>
      <c r="D34" s="2" t="s">
        <v>108</v>
      </c>
    </row>
    <row r="35" spans="1:4" x14ac:dyDescent="0.3">
      <c r="A35" s="2" t="s">
        <v>163</v>
      </c>
      <c r="B35" s="2" t="s">
        <v>164</v>
      </c>
      <c r="C35" s="2" t="s">
        <v>24</v>
      </c>
      <c r="D35" s="2" t="s">
        <v>108</v>
      </c>
    </row>
    <row r="36" spans="1:4" x14ac:dyDescent="0.3">
      <c r="A36" s="2" t="s">
        <v>165</v>
      </c>
      <c r="B36" s="2" t="s">
        <v>166</v>
      </c>
      <c r="C36" s="2" t="s">
        <v>28</v>
      </c>
      <c r="D36" s="2" t="s">
        <v>108</v>
      </c>
    </row>
    <row r="37" spans="1:4" x14ac:dyDescent="0.3">
      <c r="A37" s="2" t="s">
        <v>167</v>
      </c>
      <c r="B37" s="2" t="s">
        <v>168</v>
      </c>
      <c r="C37" s="2" t="s">
        <v>28</v>
      </c>
      <c r="D37" s="2" t="s">
        <v>98</v>
      </c>
    </row>
    <row r="38" spans="1:4" x14ac:dyDescent="0.3">
      <c r="A38" s="2" t="s">
        <v>169</v>
      </c>
      <c r="B38" s="2" t="s">
        <v>162</v>
      </c>
      <c r="C38" s="2" t="s">
        <v>28</v>
      </c>
      <c r="D38" s="2" t="s">
        <v>108</v>
      </c>
    </row>
    <row r="39" spans="1:4" x14ac:dyDescent="0.3">
      <c r="A39" s="2" t="s">
        <v>170</v>
      </c>
      <c r="B39" s="2" t="s">
        <v>171</v>
      </c>
      <c r="C39" s="2" t="s">
        <v>32</v>
      </c>
      <c r="D39" s="2" t="s">
        <v>108</v>
      </c>
    </row>
    <row r="40" spans="1:4" x14ac:dyDescent="0.3">
      <c r="A40" s="2" t="s">
        <v>172</v>
      </c>
      <c r="B40" s="2" t="s">
        <v>173</v>
      </c>
      <c r="C40" s="2" t="s">
        <v>32</v>
      </c>
      <c r="D40" s="2" t="s">
        <v>98</v>
      </c>
    </row>
    <row r="41" spans="1:4" x14ac:dyDescent="0.3">
      <c r="A41" s="2" t="s">
        <v>174</v>
      </c>
      <c r="B41" s="2" t="s">
        <v>175</v>
      </c>
      <c r="C41" s="2" t="s">
        <v>32</v>
      </c>
      <c r="D41" s="2" t="s">
        <v>98</v>
      </c>
    </row>
    <row r="42" spans="1:4" x14ac:dyDescent="0.3">
      <c r="A42" s="2" t="s">
        <v>176</v>
      </c>
      <c r="B42" s="2" t="s">
        <v>177</v>
      </c>
      <c r="C42" s="2" t="s">
        <v>35</v>
      </c>
      <c r="D42" s="2" t="s">
        <v>108</v>
      </c>
    </row>
    <row r="43" spans="1:4" x14ac:dyDescent="0.3">
      <c r="A43" s="2" t="s">
        <v>178</v>
      </c>
      <c r="B43" s="2" t="s">
        <v>179</v>
      </c>
      <c r="C43" s="2" t="s">
        <v>35</v>
      </c>
      <c r="D43" s="2" t="s">
        <v>101</v>
      </c>
    </row>
    <row r="44" spans="1:4" x14ac:dyDescent="0.3">
      <c r="A44" s="2" t="s">
        <v>180</v>
      </c>
      <c r="B44" s="2" t="s">
        <v>181</v>
      </c>
      <c r="C44" s="2" t="s">
        <v>35</v>
      </c>
      <c r="D44" s="2" t="s">
        <v>98</v>
      </c>
    </row>
    <row r="45" spans="1:4" x14ac:dyDescent="0.3">
      <c r="A45" s="2" t="s">
        <v>182</v>
      </c>
      <c r="B45" s="2" t="s">
        <v>183</v>
      </c>
      <c r="C45" s="2" t="s">
        <v>35</v>
      </c>
      <c r="D45" s="2" t="s">
        <v>108</v>
      </c>
    </row>
    <row r="46" spans="1:4" x14ac:dyDescent="0.3">
      <c r="A46" s="2" t="s">
        <v>184</v>
      </c>
      <c r="B46" s="2" t="s">
        <v>185</v>
      </c>
      <c r="C46" s="2" t="s">
        <v>35</v>
      </c>
      <c r="D46" s="2" t="s">
        <v>101</v>
      </c>
    </row>
    <row r="47" spans="1:4" x14ac:dyDescent="0.3">
      <c r="A47" s="2" t="s">
        <v>186</v>
      </c>
      <c r="B47" s="2" t="s">
        <v>187</v>
      </c>
      <c r="C47" s="2" t="s">
        <v>39</v>
      </c>
      <c r="D47" s="2" t="s">
        <v>108</v>
      </c>
    </row>
    <row r="48" spans="1:4" x14ac:dyDescent="0.3">
      <c r="A48" s="2" t="s">
        <v>188</v>
      </c>
      <c r="B48" s="2" t="s">
        <v>189</v>
      </c>
      <c r="C48" s="2" t="s">
        <v>39</v>
      </c>
      <c r="D48" s="2" t="s">
        <v>108</v>
      </c>
    </row>
    <row r="49" spans="1:4" x14ac:dyDescent="0.3">
      <c r="A49" s="2" t="s">
        <v>190</v>
      </c>
      <c r="B49" s="2" t="s">
        <v>191</v>
      </c>
      <c r="C49" s="2" t="s">
        <v>39</v>
      </c>
      <c r="D49" s="2" t="s">
        <v>108</v>
      </c>
    </row>
    <row r="50" spans="1:4" x14ac:dyDescent="0.3">
      <c r="A50" s="2" t="s">
        <v>192</v>
      </c>
      <c r="B50" s="2" t="s">
        <v>193</v>
      </c>
      <c r="C50" s="2" t="s">
        <v>42</v>
      </c>
      <c r="D50" s="2" t="s">
        <v>98</v>
      </c>
    </row>
    <row r="51" spans="1:4" x14ac:dyDescent="0.3">
      <c r="A51" s="2" t="s">
        <v>194</v>
      </c>
      <c r="B51" s="2" t="s">
        <v>195</v>
      </c>
      <c r="C51" s="2" t="s">
        <v>42</v>
      </c>
      <c r="D51" s="2" t="s">
        <v>98</v>
      </c>
    </row>
    <row r="52" spans="1:4" x14ac:dyDescent="0.3">
      <c r="A52" s="2" t="s">
        <v>196</v>
      </c>
      <c r="B52" s="2" t="s">
        <v>197</v>
      </c>
      <c r="C52" s="2" t="s">
        <v>42</v>
      </c>
      <c r="D52" s="2" t="s">
        <v>108</v>
      </c>
    </row>
    <row r="53" spans="1:4" x14ac:dyDescent="0.3">
      <c r="A53" s="2" t="s">
        <v>198</v>
      </c>
      <c r="B53" s="2" t="s">
        <v>199</v>
      </c>
      <c r="C53" s="2" t="s">
        <v>46</v>
      </c>
      <c r="D53" s="2" t="s">
        <v>101</v>
      </c>
    </row>
    <row r="54" spans="1:4" x14ac:dyDescent="0.3">
      <c r="A54" s="2" t="s">
        <v>200</v>
      </c>
      <c r="B54" s="2" t="s">
        <v>201</v>
      </c>
      <c r="C54" s="2" t="s">
        <v>46</v>
      </c>
      <c r="D54" s="2" t="s">
        <v>98</v>
      </c>
    </row>
    <row r="55" spans="1:4" x14ac:dyDescent="0.3">
      <c r="A55" s="2" t="s">
        <v>202</v>
      </c>
      <c r="B55" s="2" t="s">
        <v>203</v>
      </c>
      <c r="C55" s="2" t="s">
        <v>46</v>
      </c>
      <c r="D55" s="2" t="s">
        <v>108</v>
      </c>
    </row>
    <row r="56" spans="1:4" x14ac:dyDescent="0.3">
      <c r="A56" s="2" t="s">
        <v>204</v>
      </c>
      <c r="B56" s="2" t="s">
        <v>205</v>
      </c>
      <c r="C56" s="2" t="s">
        <v>46</v>
      </c>
      <c r="D56" s="2" t="s">
        <v>108</v>
      </c>
    </row>
    <row r="57" spans="1:4" x14ac:dyDescent="0.3">
      <c r="A57" s="2" t="s">
        <v>206</v>
      </c>
      <c r="B57" s="2" t="s">
        <v>207</v>
      </c>
      <c r="C57" s="2" t="s">
        <v>46</v>
      </c>
      <c r="D57" s="2" t="s">
        <v>108</v>
      </c>
    </row>
    <row r="58" spans="1:4" x14ac:dyDescent="0.3">
      <c r="A58" s="2" t="s">
        <v>208</v>
      </c>
      <c r="B58" s="2" t="s">
        <v>209</v>
      </c>
      <c r="C58" s="2" t="s">
        <v>49</v>
      </c>
      <c r="D58" s="2" t="s">
        <v>108</v>
      </c>
    </row>
    <row r="59" spans="1:4" x14ac:dyDescent="0.3">
      <c r="A59" s="2" t="s">
        <v>210</v>
      </c>
      <c r="B59" s="2" t="s">
        <v>211</v>
      </c>
      <c r="C59" s="2" t="s">
        <v>49</v>
      </c>
      <c r="D59" s="2" t="s">
        <v>108</v>
      </c>
    </row>
    <row r="60" spans="1:4" x14ac:dyDescent="0.3">
      <c r="A60" s="2" t="s">
        <v>212</v>
      </c>
      <c r="B60" s="2" t="s">
        <v>213</v>
      </c>
      <c r="C60" s="2" t="s">
        <v>52</v>
      </c>
      <c r="D60" s="2" t="s">
        <v>108</v>
      </c>
    </row>
    <row r="61" spans="1:4" x14ac:dyDescent="0.3">
      <c r="A61" s="2" t="s">
        <v>214</v>
      </c>
      <c r="B61" s="2" t="s">
        <v>215</v>
      </c>
      <c r="C61" s="2" t="s">
        <v>52</v>
      </c>
      <c r="D61" s="2" t="s">
        <v>108</v>
      </c>
    </row>
    <row r="62" spans="1:4" x14ac:dyDescent="0.3">
      <c r="A62" s="2" t="s">
        <v>216</v>
      </c>
      <c r="B62" s="2" t="s">
        <v>217</v>
      </c>
      <c r="C62" s="2" t="s">
        <v>55</v>
      </c>
      <c r="D62" s="2" t="s">
        <v>108</v>
      </c>
    </row>
    <row r="63" spans="1:4" x14ac:dyDescent="0.3">
      <c r="A63" s="2" t="s">
        <v>218</v>
      </c>
      <c r="B63" s="2" t="s">
        <v>219</v>
      </c>
      <c r="C63" s="2" t="s">
        <v>55</v>
      </c>
      <c r="D63" s="2" t="s">
        <v>108</v>
      </c>
    </row>
    <row r="64" spans="1:4" x14ac:dyDescent="0.3">
      <c r="A64" s="2" t="s">
        <v>220</v>
      </c>
      <c r="B64" s="2" t="s">
        <v>221</v>
      </c>
      <c r="C64" s="2" t="s">
        <v>58</v>
      </c>
      <c r="D64" s="2" t="s">
        <v>98</v>
      </c>
    </row>
    <row r="65" spans="1:4" x14ac:dyDescent="0.3">
      <c r="A65" s="2" t="s">
        <v>222</v>
      </c>
      <c r="B65" s="2" t="s">
        <v>223</v>
      </c>
      <c r="C65" s="2" t="s">
        <v>62</v>
      </c>
      <c r="D65" s="2" t="s">
        <v>98</v>
      </c>
    </row>
    <row r="66" spans="1:4" x14ac:dyDescent="0.3">
      <c r="A66" s="2" t="s">
        <v>224</v>
      </c>
      <c r="B66" s="2" t="s">
        <v>141</v>
      </c>
      <c r="C66" s="2" t="s">
        <v>62</v>
      </c>
      <c r="D66" s="2" t="s">
        <v>98</v>
      </c>
    </row>
    <row r="67" spans="1:4" x14ac:dyDescent="0.3">
      <c r="A67" s="2" t="s">
        <v>225</v>
      </c>
      <c r="B67" s="2" t="s">
        <v>226</v>
      </c>
      <c r="C67" s="2" t="s">
        <v>66</v>
      </c>
      <c r="D67" s="2" t="s">
        <v>108</v>
      </c>
    </row>
    <row r="68" spans="1:4" x14ac:dyDescent="0.3">
      <c r="A68" s="2" t="s">
        <v>227</v>
      </c>
      <c r="B68" s="2" t="s">
        <v>228</v>
      </c>
      <c r="C68" s="2" t="s">
        <v>70</v>
      </c>
      <c r="D68" s="2" t="s">
        <v>108</v>
      </c>
    </row>
    <row r="69" spans="1:4" x14ac:dyDescent="0.3">
      <c r="A69" s="2" t="s">
        <v>229</v>
      </c>
      <c r="B69" s="2" t="s">
        <v>230</v>
      </c>
      <c r="C69" s="2" t="s">
        <v>70</v>
      </c>
      <c r="D69" s="2" t="s">
        <v>101</v>
      </c>
    </row>
    <row r="70" spans="1:4" x14ac:dyDescent="0.3">
      <c r="A70" s="2" t="s">
        <v>231</v>
      </c>
      <c r="B70" s="2" t="s">
        <v>232</v>
      </c>
      <c r="C70" s="2" t="s">
        <v>74</v>
      </c>
      <c r="D70" s="2" t="s">
        <v>98</v>
      </c>
    </row>
    <row r="71" spans="1:4" x14ac:dyDescent="0.3">
      <c r="A71" s="2" t="s">
        <v>233</v>
      </c>
      <c r="B71" s="2" t="s">
        <v>234</v>
      </c>
      <c r="C71" s="2" t="s">
        <v>78</v>
      </c>
      <c r="D71" s="2" t="s">
        <v>108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zoomScaleNormal="100" workbookViewId="0">
      <selection activeCell="I16" sqref="I16"/>
    </sheetView>
  </sheetViews>
  <sheetFormatPr defaultColWidth="8.6640625" defaultRowHeight="14.4" x14ac:dyDescent="0.3"/>
  <cols>
    <col min="1" max="1" width="17" customWidth="1"/>
    <col min="2" max="2" width="16" customWidth="1"/>
    <col min="3" max="4" width="17" customWidth="1"/>
    <col min="5" max="5" width="19" customWidth="1"/>
    <col min="6" max="6" width="12" customWidth="1"/>
  </cols>
  <sheetData>
    <row r="1" spans="1:6" x14ac:dyDescent="0.3">
      <c r="A1" s="1" t="s">
        <v>0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</row>
    <row r="2" spans="1:6" x14ac:dyDescent="0.3">
      <c r="A2" s="2" t="s">
        <v>4</v>
      </c>
      <c r="B2" s="2">
        <v>6</v>
      </c>
      <c r="C2" s="2" t="s">
        <v>240</v>
      </c>
      <c r="D2" s="2" t="s">
        <v>241</v>
      </c>
      <c r="E2" s="2" t="s">
        <v>242</v>
      </c>
      <c r="F2" s="2" t="s">
        <v>243</v>
      </c>
    </row>
    <row r="3" spans="1:6" x14ac:dyDescent="0.3">
      <c r="A3" s="2" t="s">
        <v>8</v>
      </c>
      <c r="B3" s="2">
        <v>8</v>
      </c>
      <c r="C3" s="2" t="s">
        <v>240</v>
      </c>
      <c r="D3" s="2" t="s">
        <v>244</v>
      </c>
      <c r="E3" s="2" t="s">
        <v>245</v>
      </c>
      <c r="F3" s="2" t="s">
        <v>246</v>
      </c>
    </row>
    <row r="4" spans="1:6" x14ac:dyDescent="0.3">
      <c r="A4" s="2" t="s">
        <v>12</v>
      </c>
      <c r="B4" s="2">
        <v>7</v>
      </c>
      <c r="C4" s="2" t="s">
        <v>240</v>
      </c>
      <c r="D4" s="2" t="s">
        <v>247</v>
      </c>
      <c r="E4" s="2" t="s">
        <v>23</v>
      </c>
      <c r="F4" s="2" t="s">
        <v>246</v>
      </c>
    </row>
    <row r="5" spans="1:6" x14ac:dyDescent="0.3">
      <c r="A5" s="2" t="s">
        <v>16</v>
      </c>
      <c r="B5" s="2">
        <v>6</v>
      </c>
      <c r="C5" s="2" t="s">
        <v>240</v>
      </c>
      <c r="D5" s="2" t="s">
        <v>248</v>
      </c>
      <c r="E5" s="2" t="s">
        <v>249</v>
      </c>
      <c r="F5" s="2" t="s">
        <v>246</v>
      </c>
    </row>
    <row r="6" spans="1:6" x14ac:dyDescent="0.3">
      <c r="A6" s="2" t="s">
        <v>20</v>
      </c>
      <c r="B6" s="2">
        <v>3</v>
      </c>
      <c r="C6" s="2" t="s">
        <v>250</v>
      </c>
      <c r="D6" s="2" t="s">
        <v>251</v>
      </c>
      <c r="E6" s="2" t="s">
        <v>252</v>
      </c>
      <c r="F6" s="2" t="s">
        <v>243</v>
      </c>
    </row>
    <row r="7" spans="1:6" x14ac:dyDescent="0.3">
      <c r="A7" s="2" t="s">
        <v>24</v>
      </c>
      <c r="B7" s="2">
        <v>4</v>
      </c>
      <c r="C7" s="2" t="s">
        <v>250</v>
      </c>
      <c r="D7" s="2" t="s">
        <v>253</v>
      </c>
      <c r="E7" s="2" t="s">
        <v>254</v>
      </c>
      <c r="F7" s="2" t="s">
        <v>246</v>
      </c>
    </row>
    <row r="8" spans="1:6" x14ac:dyDescent="0.3">
      <c r="A8" s="2" t="s">
        <v>28</v>
      </c>
      <c r="B8" s="2">
        <v>3</v>
      </c>
      <c r="C8" s="2" t="s">
        <v>250</v>
      </c>
      <c r="D8" s="2" t="s">
        <v>255</v>
      </c>
      <c r="E8" s="2" t="s">
        <v>256</v>
      </c>
      <c r="F8" s="2" t="s">
        <v>243</v>
      </c>
    </row>
    <row r="9" spans="1:6" x14ac:dyDescent="0.3">
      <c r="A9" s="2" t="s">
        <v>32</v>
      </c>
      <c r="B9" s="2">
        <v>3</v>
      </c>
      <c r="C9" s="2" t="s">
        <v>250</v>
      </c>
      <c r="D9" s="2" t="s">
        <v>257</v>
      </c>
      <c r="E9" s="2" t="s">
        <v>245</v>
      </c>
      <c r="F9" s="2" t="s">
        <v>243</v>
      </c>
    </row>
    <row r="10" spans="1:6" x14ac:dyDescent="0.3">
      <c r="A10" s="2" t="s">
        <v>35</v>
      </c>
      <c r="B10" s="2">
        <v>5</v>
      </c>
      <c r="C10" s="2" t="s">
        <v>250</v>
      </c>
      <c r="D10" s="2" t="s">
        <v>258</v>
      </c>
      <c r="E10" s="2" t="s">
        <v>259</v>
      </c>
      <c r="F10" s="2" t="s">
        <v>243</v>
      </c>
    </row>
    <row r="11" spans="1:6" x14ac:dyDescent="0.3">
      <c r="A11" s="2" t="s">
        <v>39</v>
      </c>
      <c r="B11" s="2">
        <v>3</v>
      </c>
      <c r="C11" s="2" t="s">
        <v>250</v>
      </c>
      <c r="D11" s="2" t="s">
        <v>260</v>
      </c>
      <c r="E11" s="2" t="s">
        <v>249</v>
      </c>
      <c r="F11" s="2" t="s">
        <v>243</v>
      </c>
    </row>
    <row r="12" spans="1:6" x14ac:dyDescent="0.3">
      <c r="A12" s="2" t="s">
        <v>42</v>
      </c>
      <c r="B12" s="2">
        <v>3</v>
      </c>
      <c r="C12" s="2" t="s">
        <v>250</v>
      </c>
      <c r="D12" s="2" t="s">
        <v>261</v>
      </c>
      <c r="E12" s="2" t="s">
        <v>262</v>
      </c>
      <c r="F12" s="2" t="s">
        <v>243</v>
      </c>
    </row>
    <row r="13" spans="1:6" x14ac:dyDescent="0.3">
      <c r="A13" s="2" t="s">
        <v>46</v>
      </c>
      <c r="B13" s="2">
        <v>5</v>
      </c>
      <c r="C13" s="2" t="s">
        <v>250</v>
      </c>
      <c r="D13" s="2" t="s">
        <v>263</v>
      </c>
      <c r="E13" s="2" t="s">
        <v>249</v>
      </c>
      <c r="F13" s="2" t="s">
        <v>243</v>
      </c>
    </row>
    <row r="14" spans="1:6" x14ac:dyDescent="0.3">
      <c r="A14" s="2" t="s">
        <v>49</v>
      </c>
      <c r="B14" s="2">
        <v>2</v>
      </c>
      <c r="C14" s="2" t="s">
        <v>264</v>
      </c>
      <c r="D14" s="2" t="s">
        <v>265</v>
      </c>
      <c r="E14" s="2" t="s">
        <v>245</v>
      </c>
      <c r="F14" s="2" t="s">
        <v>243</v>
      </c>
    </row>
    <row r="15" spans="1:6" x14ac:dyDescent="0.3">
      <c r="A15" s="2" t="s">
        <v>52</v>
      </c>
      <c r="B15" s="2">
        <v>2</v>
      </c>
      <c r="C15" s="2" t="s">
        <v>264</v>
      </c>
      <c r="D15" s="2" t="s">
        <v>266</v>
      </c>
      <c r="E15" s="2" t="s">
        <v>252</v>
      </c>
      <c r="F15" s="2" t="s">
        <v>243</v>
      </c>
    </row>
    <row r="16" spans="1:6" x14ac:dyDescent="0.3">
      <c r="A16" s="2" t="s">
        <v>55</v>
      </c>
      <c r="B16" s="2">
        <v>2</v>
      </c>
      <c r="C16" s="2" t="s">
        <v>264</v>
      </c>
      <c r="D16" s="2" t="s">
        <v>267</v>
      </c>
      <c r="E16" s="2" t="s">
        <v>242</v>
      </c>
      <c r="F16" s="2" t="s">
        <v>243</v>
      </c>
    </row>
    <row r="17" spans="1:6" x14ac:dyDescent="0.3">
      <c r="A17" s="2" t="s">
        <v>58</v>
      </c>
      <c r="B17" s="2">
        <v>1</v>
      </c>
      <c r="C17" s="2" t="s">
        <v>264</v>
      </c>
      <c r="D17" s="2" t="s">
        <v>268</v>
      </c>
      <c r="E17" s="2" t="s">
        <v>269</v>
      </c>
      <c r="F17" s="2" t="s">
        <v>243</v>
      </c>
    </row>
    <row r="18" spans="1:6" x14ac:dyDescent="0.3">
      <c r="A18" s="2" t="s">
        <v>62</v>
      </c>
      <c r="B18" s="2">
        <v>2</v>
      </c>
      <c r="C18" s="2" t="s">
        <v>264</v>
      </c>
      <c r="D18" s="2" t="s">
        <v>270</v>
      </c>
      <c r="E18" s="2" t="s">
        <v>271</v>
      </c>
      <c r="F18" s="2" t="s">
        <v>243</v>
      </c>
    </row>
    <row r="19" spans="1:6" x14ac:dyDescent="0.3">
      <c r="A19" s="2" t="s">
        <v>66</v>
      </c>
      <c r="B19" s="2">
        <v>1</v>
      </c>
      <c r="C19" s="2" t="s">
        <v>264</v>
      </c>
      <c r="D19" s="2" t="s">
        <v>272</v>
      </c>
      <c r="E19" s="2" t="s">
        <v>45</v>
      </c>
      <c r="F19" s="2" t="s">
        <v>243</v>
      </c>
    </row>
    <row r="20" spans="1:6" x14ac:dyDescent="0.3">
      <c r="A20" s="2" t="s">
        <v>70</v>
      </c>
      <c r="B20" s="2">
        <v>2</v>
      </c>
      <c r="C20" s="2" t="s">
        <v>264</v>
      </c>
      <c r="D20" s="2" t="s">
        <v>273</v>
      </c>
      <c r="E20" s="2" t="s">
        <v>19</v>
      </c>
      <c r="F20" s="2" t="s">
        <v>243</v>
      </c>
    </row>
    <row r="21" spans="1:6" x14ac:dyDescent="0.3">
      <c r="A21" s="2" t="s">
        <v>74</v>
      </c>
      <c r="B21" s="2">
        <v>1</v>
      </c>
      <c r="C21" s="2" t="s">
        <v>264</v>
      </c>
      <c r="D21" s="2" t="s">
        <v>274</v>
      </c>
      <c r="E21" s="2" t="s">
        <v>275</v>
      </c>
      <c r="F21" s="2" t="s">
        <v>246</v>
      </c>
    </row>
    <row r="22" spans="1:6" x14ac:dyDescent="0.3">
      <c r="A22" s="2" t="s">
        <v>78</v>
      </c>
      <c r="B22" s="2">
        <v>1</v>
      </c>
      <c r="C22" s="2" t="s">
        <v>264</v>
      </c>
      <c r="D22" s="2" t="s">
        <v>276</v>
      </c>
      <c r="E22" s="2" t="s">
        <v>277</v>
      </c>
      <c r="F22" s="2" t="s">
        <v>243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zoomScaleNormal="100" workbookViewId="0">
      <selection activeCell="A22" sqref="A22"/>
    </sheetView>
  </sheetViews>
  <sheetFormatPr defaultColWidth="8.6640625" defaultRowHeight="14.4" x14ac:dyDescent="0.3"/>
  <cols>
    <col min="1" max="1" width="26" customWidth="1"/>
    <col min="2" max="2" width="16" customWidth="1"/>
  </cols>
  <sheetData>
    <row r="1" spans="1:2" x14ac:dyDescent="0.3">
      <c r="A1" s="3" t="s">
        <v>285</v>
      </c>
      <c r="B1" s="4"/>
    </row>
    <row r="2" spans="1:2" x14ac:dyDescent="0.3">
      <c r="A2" s="5" t="s">
        <v>286</v>
      </c>
      <c r="B2" s="5">
        <f>25</f>
        <v>25</v>
      </c>
    </row>
    <row r="3" spans="1:2" x14ac:dyDescent="0.3">
      <c r="A3" s="5" t="s">
        <v>287</v>
      </c>
      <c r="B3" s="5">
        <f>COUNTA('Click Tracking'!A2:A71)</f>
        <v>70</v>
      </c>
    </row>
    <row r="4" spans="1:2" x14ac:dyDescent="0.3">
      <c r="A4" s="5" t="s">
        <v>288</v>
      </c>
      <c r="B4" s="5">
        <f>COUNTA('Remarketing Record'!A2:A22)</f>
        <v>21</v>
      </c>
    </row>
    <row r="5" spans="1:2" x14ac:dyDescent="0.3">
      <c r="A5" s="5" t="s">
        <v>289</v>
      </c>
      <c r="B5" s="5">
        <f>COUNTIF('Remarketing Record'!F2:F22,"Yes")</f>
        <v>5</v>
      </c>
    </row>
    <row r="6" spans="1:2" x14ac:dyDescent="0.3">
      <c r="A6" s="5" t="s">
        <v>290</v>
      </c>
      <c r="B6" s="6">
        <f>B5/B4</f>
        <v>0.23809523809523808</v>
      </c>
    </row>
    <row r="7" spans="1:2" x14ac:dyDescent="0.3">
      <c r="A7" s="4"/>
      <c r="B7" s="4"/>
    </row>
    <row r="8" spans="1:2" x14ac:dyDescent="0.3">
      <c r="A8" s="3" t="s">
        <v>282</v>
      </c>
      <c r="B8" s="4"/>
    </row>
    <row r="9" spans="1:2" x14ac:dyDescent="0.3">
      <c r="A9" s="7" t="s">
        <v>283</v>
      </c>
      <c r="B9" s="7" t="s">
        <v>284</v>
      </c>
    </row>
    <row r="10" spans="1:2" x14ac:dyDescent="0.3">
      <c r="A10" s="5" t="s">
        <v>108</v>
      </c>
      <c r="B10" s="5">
        <f>COUNTIF('Click Tracking'!D2:D71,A10)</f>
        <v>39</v>
      </c>
    </row>
    <row r="11" spans="1:2" x14ac:dyDescent="0.3">
      <c r="A11" s="5" t="s">
        <v>98</v>
      </c>
      <c r="B11" s="5">
        <f>COUNTIF('Click Tracking'!D2:D71,A11)</f>
        <v>23</v>
      </c>
    </row>
    <row r="12" spans="1:2" x14ac:dyDescent="0.3">
      <c r="A12" s="5" t="s">
        <v>101</v>
      </c>
      <c r="B12" s="5">
        <f>COUNTIF('Click Tracking'!D2:D71,A12)</f>
        <v>8</v>
      </c>
    </row>
    <row r="13" spans="1:2" x14ac:dyDescent="0.3">
      <c r="A13" s="4"/>
      <c r="B13" s="4"/>
    </row>
    <row r="14" spans="1:2" x14ac:dyDescent="0.3">
      <c r="A14" s="3" t="s">
        <v>278</v>
      </c>
      <c r="B14" s="4"/>
    </row>
    <row r="15" spans="1:2" x14ac:dyDescent="0.3">
      <c r="A15" s="7" t="s">
        <v>279</v>
      </c>
      <c r="B15" s="7" t="s">
        <v>280</v>
      </c>
    </row>
    <row r="16" spans="1:2" x14ac:dyDescent="0.3">
      <c r="A16" s="5" t="s">
        <v>240</v>
      </c>
      <c r="B16" s="5">
        <f>COUNTIF('Remarketing Record'!C2:C22,A16)</f>
        <v>4</v>
      </c>
    </row>
    <row r="17" spans="1:2" x14ac:dyDescent="0.3">
      <c r="A17" s="5" t="s">
        <v>250</v>
      </c>
      <c r="B17" s="5">
        <f>COUNTIF('Remarketing Record'!C2:C22,A17)</f>
        <v>8</v>
      </c>
    </row>
    <row r="18" spans="1:2" x14ac:dyDescent="0.3">
      <c r="A18" s="5" t="s">
        <v>264</v>
      </c>
      <c r="B18" s="5">
        <f>COUNTIF('Remarketing Record'!C2:C22,A18)</f>
        <v>9</v>
      </c>
    </row>
    <row r="19" spans="1:2" x14ac:dyDescent="0.3">
      <c r="A19" s="5" t="s">
        <v>281</v>
      </c>
      <c r="B19" s="5">
        <f>25-SUM(B16:B18)</f>
        <v>4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Members</vt:lpstr>
      <vt:lpstr>Click Tracking</vt:lpstr>
      <vt:lpstr>Remarketing Record</vt:lpstr>
      <vt:lpstr>Dashboard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葉名瑋</cp:lastModifiedBy>
  <cp:revision>0</cp:revision>
  <dcterms:created xsi:type="dcterms:W3CDTF">2026-07-13T10:17:31Z</dcterms:created>
  <dcterms:modified xsi:type="dcterms:W3CDTF">2026-07-13T10:28:07Z</dcterms:modified>
  <dc:language>en-US</dc:language>
</cp:coreProperties>
</file>